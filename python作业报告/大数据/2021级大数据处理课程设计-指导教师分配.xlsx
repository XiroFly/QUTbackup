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6925"/>
  <bookViews>
    <workbookView activeTab="0"/>
  </bookViews>
  <sheets>
    <sheet name="sheet1" sheetId="1" r:id="rId3"/>
  </sheets>
  <calcPr calcId="191029"/>
</workbook>
</file>

<file path=xl/sharedStrings.xml><?xml version="1.0" encoding="utf-8"?>
<sst xmlns="http://schemas.openxmlformats.org/spreadsheetml/2006/main" count="175" uniqueCount="175">
  <si>
    <t/>
  </si>
  <si>
    <t>序号</t>
  </si>
  <si>
    <t>学号</t>
  </si>
  <si>
    <t>姓名</t>
  </si>
  <si>
    <t>年级</t>
  </si>
  <si>
    <t>班级</t>
  </si>
  <si>
    <t>统计</t>
  </si>
  <si>
    <t>值班表（19-20周）</t>
  </si>
  <si>
    <t>贾宇豪</t>
  </si>
  <si>
    <t>2020</t>
  </si>
  <si>
    <t>软件201</t>
  </si>
  <si>
    <t>段亮亮</t>
  </si>
  <si>
    <t>数量</t>
  </si>
  <si>
    <t>星期</t>
  </si>
  <si>
    <t>时间</t>
  </si>
  <si>
    <t>值班教师</t>
  </si>
  <si>
    <t>邢艺腾</t>
  </si>
  <si>
    <t>房斐斐</t>
  </si>
  <si>
    <t>吴铁峰</t>
  </si>
  <si>
    <t>周一</t>
  </si>
  <si>
    <t>元旦</t>
  </si>
  <si>
    <t>王黔粤</t>
  </si>
  <si>
    <t>软件203</t>
  </si>
  <si>
    <t>李壮</t>
  </si>
  <si>
    <t>江明建</t>
  </si>
  <si>
    <t>周二</t>
  </si>
  <si>
    <t>张宇柯</t>
  </si>
  <si>
    <t>周炜</t>
  </si>
  <si>
    <t>周三</t>
  </si>
  <si>
    <t>周全强</t>
  </si>
  <si>
    <t>刘锐军</t>
  </si>
  <si>
    <t>2021</t>
  </si>
  <si>
    <t>软件211</t>
  </si>
  <si>
    <t>赵浩然</t>
  </si>
  <si>
    <t>周四</t>
  </si>
  <si>
    <t>梁俊卿</t>
  </si>
  <si>
    <t>张可</t>
  </si>
  <si>
    <t>李晓静</t>
  </si>
  <si>
    <t>周五</t>
  </si>
  <si>
    <t>安赛雅</t>
  </si>
  <si>
    <t>成洪璐</t>
  </si>
  <si>
    <t>王续澎</t>
  </si>
  <si>
    <t>姜宛君</t>
  </si>
  <si>
    <t>叶晓云</t>
  </si>
  <si>
    <t>翟正利</t>
  </si>
  <si>
    <t>刘兆钰</t>
  </si>
  <si>
    <t>张艳</t>
  </si>
  <si>
    <t>宋雨佳</t>
  </si>
  <si>
    <t>毕素环</t>
  </si>
  <si>
    <t>孙镭娟</t>
  </si>
  <si>
    <t>课设教室：信控楼303+307</t>
  </si>
  <si>
    <t>王新蕊</t>
  </si>
  <si>
    <t>钟心</t>
  </si>
  <si>
    <t>李传斌</t>
  </si>
  <si>
    <t>邓志军</t>
  </si>
  <si>
    <t>杜佳贤</t>
  </si>
  <si>
    <t>马国兵</t>
  </si>
  <si>
    <t>郭晓兵</t>
  </si>
  <si>
    <t>徐田田</t>
  </si>
  <si>
    <t>侯景耀</t>
  </si>
  <si>
    <t>杨鑫</t>
  </si>
  <si>
    <t>胡人才</t>
  </si>
  <si>
    <t>康家凯</t>
  </si>
  <si>
    <t>刘方</t>
  </si>
  <si>
    <t>总计</t>
  </si>
  <si>
    <t>陆桥晟</t>
  </si>
  <si>
    <t>莫平川</t>
  </si>
  <si>
    <t>倪晨耀</t>
  </si>
  <si>
    <t>田传宝</t>
  </si>
  <si>
    <t>田美德</t>
  </si>
  <si>
    <t>汪滨</t>
  </si>
  <si>
    <t>王宏睿</t>
  </si>
  <si>
    <t>王祺</t>
  </si>
  <si>
    <t>王洋</t>
  </si>
  <si>
    <t>王召旭</t>
  </si>
  <si>
    <t>夏浩然</t>
  </si>
  <si>
    <t>谢廷豪</t>
  </si>
  <si>
    <t>张皓翔</t>
  </si>
  <si>
    <t>张可宁</t>
  </si>
  <si>
    <t>赵国晖</t>
  </si>
  <si>
    <t>赵燕政</t>
  </si>
  <si>
    <t>赵元昆</t>
  </si>
  <si>
    <t>周如祥</t>
  </si>
  <si>
    <t>周伟宁</t>
  </si>
  <si>
    <t>熊志博</t>
  </si>
  <si>
    <t>王浩辰</t>
  </si>
  <si>
    <t>软件212</t>
  </si>
  <si>
    <t>王皓</t>
  </si>
  <si>
    <t>谭智文</t>
  </si>
  <si>
    <t>包鑫</t>
  </si>
  <si>
    <t>郭玉玲</t>
  </si>
  <si>
    <t>李子涵</t>
  </si>
  <si>
    <t>罗发琴</t>
  </si>
  <si>
    <t>陶思莹</t>
  </si>
  <si>
    <t>汶瑞欣</t>
  </si>
  <si>
    <t>熊可心</t>
  </si>
  <si>
    <t>许梦涵</t>
  </si>
  <si>
    <t>赵文秀</t>
  </si>
  <si>
    <t>董昀鑫</t>
  </si>
  <si>
    <t>冯新宇</t>
  </si>
  <si>
    <t>候博</t>
  </si>
  <si>
    <t>黄焕栋</t>
  </si>
  <si>
    <t>姜陈飞</t>
  </si>
  <si>
    <t>焦俊霖</t>
  </si>
  <si>
    <t>李明超</t>
  </si>
  <si>
    <t>梁兴昶</t>
  </si>
  <si>
    <t>刘宝骏</t>
  </si>
  <si>
    <t>刘树桐</t>
  </si>
  <si>
    <t>罗绍帅</t>
  </si>
  <si>
    <t>马祖燚</t>
  </si>
  <si>
    <t>潘玉涵</t>
  </si>
  <si>
    <t>蒲志伟</t>
  </si>
  <si>
    <t>饶礼建</t>
  </si>
  <si>
    <t>孙风轩</t>
  </si>
  <si>
    <t>孙涵</t>
  </si>
  <si>
    <t>王传棕</t>
  </si>
  <si>
    <t>王开民</t>
  </si>
  <si>
    <t>王耀</t>
  </si>
  <si>
    <t>王孜涵</t>
  </si>
  <si>
    <t>晏昊</t>
  </si>
  <si>
    <t>杨鹏飞</t>
  </si>
  <si>
    <t>张宇昊</t>
  </si>
  <si>
    <t>赵一帆</t>
  </si>
  <si>
    <t>仲世哲</t>
  </si>
  <si>
    <t>罗云丽</t>
  </si>
  <si>
    <t>谢博文</t>
  </si>
  <si>
    <t>软件213</t>
  </si>
  <si>
    <t>贾梦威</t>
  </si>
  <si>
    <t>郝金辉</t>
  </si>
  <si>
    <t>胡书杰</t>
  </si>
  <si>
    <t>797093786</t>
  </si>
  <si>
    <t>饶宇林</t>
  </si>
  <si>
    <t>范星月</t>
  </si>
  <si>
    <t>赖奔燕</t>
  </si>
  <si>
    <t>郎婧妍</t>
  </si>
  <si>
    <t>漆雅文</t>
  </si>
  <si>
    <t>权欣</t>
  </si>
  <si>
    <t>孙凌云</t>
  </si>
  <si>
    <t>孙雨萌</t>
  </si>
  <si>
    <t>邢漫漫</t>
  </si>
  <si>
    <t>于洋</t>
  </si>
  <si>
    <t>赵莎莎</t>
  </si>
  <si>
    <t>白鹏飞</t>
  </si>
  <si>
    <t>陈守诚</t>
  </si>
  <si>
    <t>丁国根</t>
  </si>
  <si>
    <t>董子杨</t>
  </si>
  <si>
    <t>高文政</t>
  </si>
  <si>
    <t>葛云</t>
  </si>
  <si>
    <t>姜文策</t>
  </si>
  <si>
    <t>孔祥坤</t>
  </si>
  <si>
    <t>雷晓鸣</t>
  </si>
  <si>
    <t>李蒙</t>
  </si>
  <si>
    <t>林聪</t>
  </si>
  <si>
    <t>邱浩睿</t>
  </si>
  <si>
    <t>邵德力</t>
  </si>
  <si>
    <t>沈秋实</t>
  </si>
  <si>
    <t>史杰</t>
  </si>
  <si>
    <t>宋仁杰</t>
  </si>
  <si>
    <t>孙林佳</t>
  </si>
  <si>
    <t>孙民森</t>
  </si>
  <si>
    <t>汤弘骏</t>
  </si>
  <si>
    <t>田效东</t>
  </si>
  <si>
    <t>王赈</t>
  </si>
  <si>
    <t>吴佳乐</t>
  </si>
  <si>
    <t>徐彬</t>
  </si>
  <si>
    <t>赵言飞</t>
  </si>
  <si>
    <t>邹向玮</t>
  </si>
  <si>
    <r>
      <rPr>
        <rFont val="等线"/>
        <family val="2"/>
        <b val="true"/>
        <color indexed="9"/>
        <sz val="10"/>
      </rPr>
      <t>指导教师</t>
    </r>
    <phoneticPr fontId="3" type="noConversion"/>
  </si>
  <si>
    <r>
      <rPr>
        <rFont val="等线"/>
        <family val="2"/>
        <b val="true"/>
        <color indexed="9"/>
        <sz val="10"/>
      </rPr>
      <t>指导教师</t>
    </r>
    <r>
      <rPr>
        <rFont val="Arial"/>
        <family val="2"/>
        <b val="true"/>
        <color indexed="9"/>
        <sz val="10"/>
      </rPr>
      <t>QQ</t>
    </r>
    <r>
      <rPr>
        <rFont val="宋体"/>
        <charset val="134"/>
        <family val="2"/>
        <b val="true"/>
        <color rgb="FFFFFFFF"/>
        <sz val="10"/>
      </rPr>
      <t>（群）</t>
    </r>
    <phoneticPr fontId="3" type="noConversion"/>
  </si>
  <si>
    <r>
      <rPr>
        <b val="false"/>
        <i val="false"/>
        <strike val="false"/>
      </rPr>
      <t/>
    </r>
    <r>
      <rPr>
        <rFont val="微软雅黑"/>
        <b val="false"/>
        <i val="false"/>
        <strike val="false"/>
        <color rgb="FF000000"/>
        <sz val="9"/>
      </rPr>
      <t>808034158</t>
    </r>
  </si>
  <si>
    <r>
      <rPr>
        <rFont val="等线"/>
        <family val="2"/>
        <sz val="10"/>
      </rPr>
      <t>赵浩然</t>
    </r>
    <phoneticPr fontId="3" type="noConversion"/>
  </si>
  <si>
    <r>
      <rPr>
        <rFont val="等线"/>
        <family val="2"/>
        <sz val="10"/>
      </rPr>
      <t>李晓静</t>
    </r>
    <phoneticPr fontId="3" type="noConversion"/>
  </si>
  <si>
    <r>
      <rPr>
        <rFont val="等线"/>
        <family val="2"/>
        <sz val="10"/>
      </rPr>
      <t>王续澎</t>
    </r>
    <phoneticPr fontId="3" type="noConversion"/>
  </si>
  <si>
    <r>
      <rPr>
        <rFont val="等线"/>
        <family val="2"/>
        <sz val="10"/>
      </rPr>
      <t>徐田田</t>
    </r>
    <phoneticPr fontId="3" type="noConversion"/>
  </si>
  <si>
    <r>
      <rPr>
        <rFont val="等线"/>
        <family val="2"/>
        <sz val="10"/>
      </rPr>
      <t>李壮</t>
    </r>
    <phoneticPr fontId="3" type="noConversion"/>
  </si>
</sst>
</file>

<file path=xl/styles.xml><?xml version="1.0" encoding="utf-8"?>
<styleSheet xmlns="http://schemas.openxmlformats.org/spreadsheetml/2006/main">
  <numFmts count="3">
    <numFmt numFmtId="300" formatCode="0_ "/>
    <numFmt numFmtId="301" formatCode="yyyy&quot;.&quot;m&quot;.&quot;d"/>
    <numFmt numFmtId="302" formatCode="General"/>
  </numFmts>
  <fonts count="12">
    <font>
      <name val="等线"/>
      <family val="2"/>
      <color indexed="8"/>
      <sz val="11"/>
      <scheme val="minor"/>
    </font>
    <font>
      <name val="等线"/>
      <color rgb="FF175CEB"/>
      <sz val="10"/>
      <u/>
      <scheme val="minor"/>
    </font>
    <font>
      <name val="等线"/>
      <family val="2"/>
      <color indexed="8"/>
      <sz val="11"/>
      <scheme val="minor"/>
    </font>
    <font>
      <name val="Arial"/>
      <b val="true"/>
      <color indexed="9"/>
      <sz val="10"/>
    </font>
    <font>
      <name val="Arial"/>
      <family val="2"/>
      <b val="true"/>
      <color indexed="9"/>
      <sz val="10"/>
    </font>
    <font>
      <name val="宋体"/>
      <charset val="134"/>
      <family val="3"/>
      <sz val="10"/>
    </font>
    <font>
      <name val="Arial"/>
      <sz val="10"/>
    </font>
    <font>
      <name val="微软雅黑"/>
      <charset val="134"/>
      <family val="2"/>
      <sz val="10"/>
    </font>
    <font>
      <name val="等线"/>
      <family val="2"/>
      <color indexed="8"/>
      <sz val="11"/>
    </font>
    <font>
      <name val="等线"/>
      <color indexed="8"/>
      <sz val="11"/>
    </font>
    <font>
      <name val="等线"/>
      <color indexed="8"/>
      <sz val="11"/>
    </font>
    <font>
      <name val="Arial"/>
      <family val="2"/>
      <sz val="10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indexed="17"/>
      </patternFill>
    </fill>
    <fill>
      <patternFill patternType="solid">
        <fgColor theme="5" tint="0.799982"/>
        <bgColor indexed="64"/>
      </patternFill>
    </fill>
    <fill>
      <patternFill patternType="none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 diagonalUp="true" diagonalDown="true">
      <left/>
      <right/>
      <top/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  <diagonal/>
    </border>
  </borders>
  <cellStyleXfs>
    <xf numFmtId="0" fontId="2" fillId="2" borderId="7" xfId="0">
      <alignment vertical="center"/>
    </xf>
  </cellStyleXfs>
  <cellXfs count="25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/>
    <xf numFmtId="0" fontId="2" fillId="2" borderId="1" xfId="0">
      <alignment horizontal="center" vertical="center"/>
    </xf>
    <xf numFmtId="300" fontId="3" fillId="3" borderId="1" xfId="0">
      <alignment horizontal="center" vertical="center"/>
    </xf>
    <xf numFmtId="0" fontId="3" fillId="3" borderId="1" xfId="0">
      <alignment horizontal="center" vertical="center"/>
    </xf>
    <xf numFmtId="0" fontId="4" fillId="3" borderId="1" xfId="0">
      <alignment horizontal="center" vertical="center"/>
    </xf>
    <xf numFmtId="49" fontId="5" fillId="4" borderId="1" xfId="0">
      <alignment horizontal="center" vertical="center" wrapText="true"/>
    </xf>
    <xf fontId="0" fillId="0" borderId="2" xfId="0">
      <alignment horizontal="center" vertical="center"/>
    </xf>
    <xf fontId="0" fillId="0" borderId="2" xfId="0"/>
    <xf numFmtId="300" fontId="6" fillId="2" borderId="1" xfId="0">
      <alignment horizontal="center" vertical="center"/>
    </xf>
    <xf numFmtId="0" fontId="7" fillId="2" borderId="1" xfId="0">
      <alignment horizontal="center" vertical="center"/>
    </xf>
    <xf numFmtId="0" fontId="6" fillId="2" borderId="1" xfId="0">
      <alignment horizontal="center" vertical="center"/>
    </xf>
    <xf numFmtId="0" fontId="8" fillId="2" borderId="3" xfId="0">
      <alignment horizontal="center" vertical="center"/>
    </xf>
    <xf fontId="0" fillId="0" borderId="4" xfId="0">
      <alignment horizontal="center" vertical="center"/>
    </xf>
    <xf numFmtId="0" fontId="9" fillId="5" borderId="5" xfId="0">
      <alignment vertical="center"/>
    </xf>
    <xf numFmtId="301" fontId="0" fillId="0" borderId="2" xfId="0">
      <alignment horizontal="center" vertical="center"/>
    </xf>
    <xf numFmtId="0" fontId="10" fillId="2" borderId="3" xfId="0">
      <alignment horizontal="center" vertical="center"/>
    </xf>
    <xf fontId="0" fillId="0" borderId="6" xfId="0">
      <alignment horizontal="center" vertical="center"/>
    </xf>
    <xf fontId="0" fillId="0" borderId="6" xfId="0"/>
    <xf numFmtId="0" fontId="9" fillId="5" borderId="5" xfId="0">
      <alignment horizontal="center" vertical="center"/>
    </xf>
    <xf numFmtId="0" fontId="11" fillId="2" borderId="1" xfId="0">
      <alignment horizontal="center" vertical="center"/>
    </xf>
    <xf numFmtId="302" fontId="2" fillId="2" borderId="1" xfId="0">
      <alignment horizontal="center" vertical="center"/>
    </xf>
    <xf numFmtId="300" fontId="2" fillId="2" borderId="1" xfId="0">
      <alignment horizontal="center" vertical="center"/>
    </xf>
    <xf numFmtId="302" fontId="2" fillId="2" borderId="7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L121"/>
  <sheetViews>
    <sheetView showGridLines="true" tabSelected="true" workbookViewId="0">
      <selection activeCell="O14" sqref="O14"/>
    </sheetView>
  </sheetViews>
  <sheetFormatPr baseColWidth="8" defaultRowHeight="13.8"/>
  <cols>
    <col min="1" max="1" width="8.88672" style="22"/>
    <col min="2" max="2" width="18.1094" style="23" customWidth="true"/>
    <col min="3" max="5" width="8.66406" style="22" customWidth="true"/>
    <col min="6" max="6" width="8.88672" style="22"/>
    <col min="7" max="7" width="19.2188" style="22" customWidth="true"/>
    <col min="9" max="11" width="8.88672" style="24"/>
  </cols>
  <sheetData>
    <row r="1" spans="1:16">
      <c r="A1" s="3" t="s">
        <v>1</v>
      </c>
      <c r="B1" s="4" t="s">
        <v>2</v>
      </c>
      <c r="C1" s="5" t="s">
        <v>3</v>
      </c>
      <c r="D1" s="5" t="s">
        <v>4</v>
      </c>
      <c r="E1" s="5" t="s">
        <v>5</v>
      </c>
      <c r="F1" s="6" t="s">
        <v>167</v>
      </c>
      <c r="G1" s="6" t="s">
        <v>168</v>
      </c>
      <c r="I1" s="7" t="s">
        <v>6</v>
      </c>
      <c r="J1" s="7" t="s"/>
      <c r="K1" s="7" t="s"/>
      <c r="N1" s="8" t="s">
        <v>7</v>
      </c>
      <c r="O1" s="9" t="s"/>
      <c r="P1" s="9" t="s"/>
    </row>
    <row r="2" spans="1:16" ht="15" customHeight="true">
      <c r="A2" s="3">
        <v>1</v>
      </c>
      <c r="B2" s="10">
        <v>202011050373</v>
      </c>
      <c r="C2" s="11" t="s">
        <v>8</v>
      </c>
      <c r="D2" s="12" t="s">
        <v>9</v>
      </c>
      <c r="E2" s="12" t="s">
        <v>10</v>
      </c>
      <c r="F2" s="3" t="s">
        <v>11</v>
      </c>
      <c r="G2" s="13">
        <v>830485406</v>
      </c>
      <c r="I2" s="3" t="s">
        <v>1</v>
      </c>
      <c r="J2" s="3" t="s">
        <v>3</v>
      </c>
      <c r="K2" s="3" t="s">
        <v>12</v>
      </c>
      <c r="N2" s="14" t="s">
        <v>13</v>
      </c>
      <c r="O2" s="14" t="s">
        <v>14</v>
      </c>
      <c r="P2" s="14" t="s">
        <v>15</v>
      </c>
    </row>
    <row r="3" spans="1:16" ht="15" customHeight="true">
      <c r="A3" s="3">
        <v>2</v>
      </c>
      <c r="B3" s="10">
        <v>202011050696</v>
      </c>
      <c r="C3" s="11" t="s">
        <v>16</v>
      </c>
      <c r="D3" s="12" t="s">
        <v>9</v>
      </c>
      <c r="E3" s="12" t="s">
        <v>10</v>
      </c>
      <c r="F3" s="3" t="s">
        <v>17</v>
      </c>
      <c r="G3" s="15">
        <v>736613176</v>
      </c>
      <c r="I3" s="3">
        <v>1</v>
      </c>
      <c r="J3" s="3" t="s">
        <v>18</v>
      </c>
      <c r="K3" s="3">
        <f>=COUNTIF(F:F,"吴铁峰")</f>
        <v>7</v>
      </c>
      <c r="N3" s="8" t="s">
        <v>19</v>
      </c>
      <c r="O3" s="16" t="s">
        <v>20</v>
      </c>
      <c r="P3" s="8" t="s"/>
    </row>
    <row r="4" spans="1:16" ht="15" customHeight="true">
      <c r="A4" s="3">
        <v>3</v>
      </c>
      <c r="B4" s="10">
        <v>202011050716</v>
      </c>
      <c r="C4" s="11" t="s">
        <v>21</v>
      </c>
      <c r="D4" s="12" t="s">
        <v>9</v>
      </c>
      <c r="E4" s="12" t="s">
        <v>22</v>
      </c>
      <c r="F4" s="3" t="s">
        <v>23</v>
      </c>
      <c r="I4" s="3">
        <v>2</v>
      </c>
      <c r="J4" s="3" t="s">
        <v>24</v>
      </c>
      <c r="K4" s="3">
        <f>=COUNTIF(F2:F121,"江明建")</f>
        <v>7</v>
      </c>
      <c r="N4" s="8" t="s">
        <v>25</v>
      </c>
      <c r="O4" s="16">
        <v>44928</v>
      </c>
      <c r="P4" s="8" t="s">
        <v>17</v>
      </c>
    </row>
    <row r="5" spans="1:16" ht="15" customHeight="true">
      <c r="A5" s="3">
        <v>4</v>
      </c>
      <c r="B5" s="10">
        <v>202011050797</v>
      </c>
      <c r="C5" s="11" t="s">
        <v>26</v>
      </c>
      <c r="D5" s="12" t="s">
        <v>9</v>
      </c>
      <c r="E5" s="12" t="s">
        <v>22</v>
      </c>
      <c r="F5" s="3" t="s">
        <v>23</v>
      </c>
      <c r="I5" s="3">
        <v>3</v>
      </c>
      <c r="J5" s="3" t="s">
        <v>27</v>
      </c>
      <c r="K5" s="3">
        <f>=COUNTIF(F:F,"周炜")</f>
        <v>7</v>
      </c>
      <c r="N5" s="8" t="s">
        <v>28</v>
      </c>
      <c r="O5" s="16">
        <v>44929</v>
      </c>
      <c r="P5" s="8" t="s">
        <v>29</v>
      </c>
    </row>
    <row r="6" spans="1:16" ht="15" customHeight="true">
      <c r="A6" s="3">
        <v>5</v>
      </c>
      <c r="B6" s="10">
        <v>202111020646</v>
      </c>
      <c r="C6" s="11" t="s">
        <v>30</v>
      </c>
      <c r="D6" s="12" t="s">
        <v>31</v>
      </c>
      <c r="E6" s="12" t="s">
        <v>32</v>
      </c>
      <c r="F6" s="3" t="s">
        <v>33</v>
      </c>
      <c r="G6" s="13">
        <v>545034260</v>
      </c>
      <c r="I6" s="3">
        <v>4</v>
      </c>
      <c r="J6" s="3" t="s">
        <v>17</v>
      </c>
      <c r="K6" s="3">
        <f>=COUNTIF(F:F,"房斐斐")</f>
        <v>7</v>
      </c>
      <c r="N6" s="8" t="s">
        <v>34</v>
      </c>
      <c r="O6" s="16">
        <v>44930</v>
      </c>
      <c r="P6" s="8" t="s">
        <v>35</v>
      </c>
    </row>
    <row r="7" spans="1:16">
      <c r="A7" s="3">
        <v>6</v>
      </c>
      <c r="B7" s="10">
        <v>202111040383</v>
      </c>
      <c r="C7" s="12" t="s">
        <v>36</v>
      </c>
      <c r="D7" s="12" t="s">
        <v>31</v>
      </c>
      <c r="E7" s="12" t="s">
        <v>32</v>
      </c>
      <c r="F7" s="3" t="s">
        <v>33</v>
      </c>
      <c r="G7" s="17">
        <v>545034260</v>
      </c>
      <c r="I7" s="3">
        <v>5</v>
      </c>
      <c r="J7" s="3" t="s">
        <v>37</v>
      </c>
      <c r="K7" s="3">
        <f>=COUNTIF(F:F,"李晓静")</f>
        <v>6</v>
      </c>
      <c r="N7" s="8" t="s">
        <v>38</v>
      </c>
      <c r="O7" s="16">
        <v>44931</v>
      </c>
      <c r="P7" s="8" t="s">
        <v>23</v>
      </c>
    </row>
    <row r="8" spans="1:16">
      <c r="A8" s="3">
        <v>7</v>
      </c>
      <c r="B8" s="10">
        <v>202111050596</v>
      </c>
      <c r="C8" s="12" t="s">
        <v>39</v>
      </c>
      <c r="D8" s="12" t="s">
        <v>31</v>
      </c>
      <c r="E8" s="12" t="s">
        <v>32</v>
      </c>
      <c r="F8" s="3" t="s">
        <v>24</v>
      </c>
      <c r="G8" s="13">
        <v>595693085</v>
      </c>
      <c r="I8" s="3">
        <v>6</v>
      </c>
      <c r="J8" s="3" t="s">
        <v>35</v>
      </c>
      <c r="K8" s="3">
        <f>=COUNTIF(F:F,"梁俊卿")</f>
        <v>7</v>
      </c>
      <c r="N8" s="8" t="s">
        <v>19</v>
      </c>
      <c r="O8" s="16">
        <v>45299</v>
      </c>
      <c r="P8" s="8" t="s">
        <v>24</v>
      </c>
    </row>
    <row r="9" spans="1:16">
      <c r="A9" s="3">
        <v>8</v>
      </c>
      <c r="B9" s="10">
        <v>202111050597</v>
      </c>
      <c r="C9" s="12" t="s">
        <v>40</v>
      </c>
      <c r="D9" s="12" t="s">
        <v>31</v>
      </c>
      <c r="E9" s="12" t="s">
        <v>32</v>
      </c>
      <c r="F9" s="3" t="s">
        <v>24</v>
      </c>
      <c r="G9" s="13">
        <v>595693085</v>
      </c>
      <c r="I9" s="3">
        <v>7</v>
      </c>
      <c r="J9" s="3" t="s">
        <v>41</v>
      </c>
      <c r="K9" s="3">
        <f>=COUNTIF(F:F,"王续澎")</f>
        <v>6</v>
      </c>
      <c r="N9" s="8" t="s">
        <v>25</v>
      </c>
      <c r="O9" s="16">
        <v>45300</v>
      </c>
      <c r="P9" s="8" t="s">
        <v>18</v>
      </c>
    </row>
    <row r="10" spans="1:16">
      <c r="A10" s="3">
        <v>9</v>
      </c>
      <c r="B10" s="10">
        <v>202111050598</v>
      </c>
      <c r="C10" s="12" t="s">
        <v>42</v>
      </c>
      <c r="D10" s="12" t="s">
        <v>31</v>
      </c>
      <c r="E10" s="12" t="s">
        <v>32</v>
      </c>
      <c r="F10" s="3" t="s">
        <v>24</v>
      </c>
      <c r="G10" s="13">
        <v>595693085</v>
      </c>
      <c r="I10" s="3">
        <v>8</v>
      </c>
      <c r="J10" s="3" t="s">
        <v>43</v>
      </c>
      <c r="K10" s="3">
        <f>=COUNTIF(F:F,"叶晓云")</f>
        <v>7</v>
      </c>
      <c r="N10" s="8" t="s">
        <v>28</v>
      </c>
      <c r="O10" s="16">
        <v>45301</v>
      </c>
      <c r="P10" s="8" t="s">
        <v>44</v>
      </c>
    </row>
    <row r="11" spans="1:16">
      <c r="A11" s="3">
        <v>10</v>
      </c>
      <c r="B11" s="10">
        <v>202111050599</v>
      </c>
      <c r="C11" s="12" t="s">
        <v>45</v>
      </c>
      <c r="D11" s="12" t="s">
        <v>31</v>
      </c>
      <c r="E11" s="12" t="s">
        <v>32</v>
      </c>
      <c r="F11" s="3" t="s">
        <v>24</v>
      </c>
      <c r="G11" s="13">
        <v>595693085</v>
      </c>
      <c r="I11" s="3">
        <v>9</v>
      </c>
      <c r="J11" s="3" t="s">
        <v>46</v>
      </c>
      <c r="K11" s="3">
        <f>=COUNTIF(F:F,"张艳")</f>
        <v>7</v>
      </c>
      <c r="N11" s="8" t="s">
        <v>34</v>
      </c>
      <c r="O11" s="16">
        <v>45302</v>
      </c>
      <c r="P11" s="8" t="s">
        <v>46</v>
      </c>
    </row>
    <row r="12" spans="1:16">
      <c r="A12" s="3">
        <v>11</v>
      </c>
      <c r="B12" s="10">
        <v>202111050600</v>
      </c>
      <c r="C12" s="12" t="s">
        <v>47</v>
      </c>
      <c r="D12" s="12" t="s">
        <v>31</v>
      </c>
      <c r="E12" s="12" t="s">
        <v>32</v>
      </c>
      <c r="F12" s="3" t="s">
        <v>24</v>
      </c>
      <c r="G12" s="13">
        <v>595693085</v>
      </c>
      <c r="I12" s="3">
        <v>10</v>
      </c>
      <c r="J12" s="3" t="s">
        <v>33</v>
      </c>
      <c r="K12" s="3">
        <f>=COUNTIF(F:F,"赵浩然")</f>
        <v>6</v>
      </c>
      <c r="N12" s="8" t="s">
        <v>38</v>
      </c>
      <c r="O12" s="16">
        <v>45303</v>
      </c>
      <c r="P12" s="8" t="s">
        <v>48</v>
      </c>
    </row>
    <row r="13" spans="1:16">
      <c r="A13" s="3">
        <v>12</v>
      </c>
      <c r="B13" s="10">
        <v>202111050601</v>
      </c>
      <c r="C13" s="12" t="s">
        <v>49</v>
      </c>
      <c r="D13" s="12" t="s">
        <v>31</v>
      </c>
      <c r="E13" s="12" t="s">
        <v>32</v>
      </c>
      <c r="F13" s="3" t="s">
        <v>24</v>
      </c>
      <c r="G13" s="13">
        <v>595693085</v>
      </c>
      <c r="I13" s="3">
        <v>11</v>
      </c>
      <c r="J13" s="3" t="s">
        <v>48</v>
      </c>
      <c r="K13" s="3">
        <f>=COUNTIF(F:F,"毕素环")</f>
        <v>7</v>
      </c>
      <c r="N13" s="18" t="s">
        <v>50</v>
      </c>
      <c r="O13" s="19" t="s"/>
      <c r="P13" s="19" t="s"/>
    </row>
    <row r="14" spans="1:16">
      <c r="A14" s="3">
        <v>13</v>
      </c>
      <c r="B14" s="10">
        <v>202111050602</v>
      </c>
      <c r="C14" s="12" t="s">
        <v>51</v>
      </c>
      <c r="D14" s="12" t="s">
        <v>31</v>
      </c>
      <c r="E14" s="12" t="s">
        <v>32</v>
      </c>
      <c r="F14" s="3" t="s">
        <v>24</v>
      </c>
      <c r="G14" s="13">
        <v>595693085</v>
      </c>
      <c r="I14" s="3">
        <v>12</v>
      </c>
      <c r="J14" s="3" t="s">
        <v>11</v>
      </c>
      <c r="K14" s="3">
        <f>=COUNTIF(F:F,"段亮亮")</f>
        <v>7</v>
      </c>
      <c r="N14" s="9" t="s"/>
      <c r="O14" s="9" t="s"/>
      <c r="P14" s="9" t="s"/>
    </row>
    <row r="15" spans="1:16">
      <c r="A15" s="3">
        <v>14</v>
      </c>
      <c r="B15" s="10">
        <v>202111050604</v>
      </c>
      <c r="C15" s="12" t="s">
        <v>52</v>
      </c>
      <c r="D15" s="12" t="s">
        <v>31</v>
      </c>
      <c r="E15" s="12" t="s">
        <v>32</v>
      </c>
      <c r="F15" s="3" t="s">
        <v>11</v>
      </c>
      <c r="G15" s="17">
        <v>830485406</v>
      </c>
      <c r="I15" s="3">
        <v>13</v>
      </c>
      <c r="J15" s="3" t="s">
        <v>53</v>
      </c>
      <c r="K15" s="3">
        <f>=COUNTIF(F:F,"李传斌")</f>
        <v>7</v>
      </c>
      <c r="N15" s="9" t="s"/>
      <c r="O15" s="9" t="s"/>
      <c r="P15" s="9" t="s"/>
    </row>
    <row r="16" spans="1:16">
      <c r="A16" s="3">
        <v>15</v>
      </c>
      <c r="B16" s="10">
        <v>202111050605</v>
      </c>
      <c r="C16" s="12" t="s">
        <v>54</v>
      </c>
      <c r="D16" s="12" t="s">
        <v>31</v>
      </c>
      <c r="E16" s="12" t="s">
        <v>32</v>
      </c>
      <c r="F16" s="3" t="s">
        <v>11</v>
      </c>
      <c r="G16" s="17">
        <v>830485406</v>
      </c>
      <c r="I16" s="3">
        <v>14</v>
      </c>
      <c r="J16" s="3" t="s">
        <v>23</v>
      </c>
      <c r="K16" s="3">
        <f>=COUNTIF(F:F,"李壮")</f>
        <v>6</v>
      </c>
      <c r="N16" s="9" t="s"/>
      <c r="O16" s="9" t="s"/>
      <c r="P16" s="9" t="s"/>
    </row>
    <row r="17" spans="1:16">
      <c r="A17" s="3">
        <v>16</v>
      </c>
      <c r="B17" s="10">
        <v>202111050606</v>
      </c>
      <c r="C17" s="12" t="s">
        <v>55</v>
      </c>
      <c r="D17" s="12" t="s">
        <v>31</v>
      </c>
      <c r="E17" s="12" t="s">
        <v>32</v>
      </c>
      <c r="F17" s="3" t="s">
        <v>11</v>
      </c>
      <c r="G17" s="17">
        <v>830485406</v>
      </c>
      <c r="I17" s="3">
        <v>15</v>
      </c>
      <c r="J17" s="3" t="s">
        <v>56</v>
      </c>
      <c r="K17" s="3">
        <f>=COUNTIF(F:F,"马国兵")</f>
        <v>7</v>
      </c>
      <c r="N17" s="9" t="s"/>
      <c r="O17" s="9" t="s"/>
      <c r="P17" s="9" t="s"/>
    </row>
    <row r="18" spans="1:16">
      <c r="A18" s="3">
        <v>17</v>
      </c>
      <c r="B18" s="10">
        <v>202111050607</v>
      </c>
      <c r="C18" s="12" t="s">
        <v>57</v>
      </c>
      <c r="D18" s="12" t="s">
        <v>31</v>
      </c>
      <c r="E18" s="12" t="s">
        <v>32</v>
      </c>
      <c r="F18" s="3" t="s">
        <v>11</v>
      </c>
      <c r="G18" s="17">
        <v>830485406</v>
      </c>
      <c r="I18" s="3">
        <v>16</v>
      </c>
      <c r="J18" s="3" t="s">
        <v>58</v>
      </c>
      <c r="K18" s="3">
        <f>=COUNTIF(F:F,"徐田田")</f>
        <v>5</v>
      </c>
      <c r="N18" s="9" t="s"/>
      <c r="O18" s="9" t="s"/>
      <c r="P18" s="9" t="s"/>
    </row>
    <row r="19" spans="1:16">
      <c r="A19" s="3">
        <v>18</v>
      </c>
      <c r="B19" s="10">
        <v>202111050608</v>
      </c>
      <c r="C19" s="12" t="s">
        <v>59</v>
      </c>
      <c r="D19" s="12" t="s">
        <v>31</v>
      </c>
      <c r="E19" s="12" t="s">
        <v>32</v>
      </c>
      <c r="F19" s="3" t="s">
        <v>11</v>
      </c>
      <c r="G19" s="17">
        <v>830485406</v>
      </c>
      <c r="I19" s="3">
        <v>17</v>
      </c>
      <c r="J19" s="3" t="s">
        <v>60</v>
      </c>
      <c r="K19" s="3">
        <f>=COUNTIF(F:F,"杨鑫")</f>
        <v>0</v>
      </c>
      <c r="N19" s="9" t="s"/>
      <c r="O19" s="9" t="s"/>
      <c r="P19" s="9" t="s"/>
    </row>
    <row r="20" spans="1:16">
      <c r="A20" s="3">
        <v>19</v>
      </c>
      <c r="B20" s="10">
        <v>202111050609</v>
      </c>
      <c r="C20" s="12" t="s">
        <v>61</v>
      </c>
      <c r="D20" s="12" t="s">
        <v>31</v>
      </c>
      <c r="E20" s="12" t="s">
        <v>32</v>
      </c>
      <c r="F20" s="3" t="s">
        <v>11</v>
      </c>
      <c r="G20" s="17">
        <v>830485406</v>
      </c>
      <c r="I20" s="3">
        <v>18</v>
      </c>
      <c r="J20" s="3" t="s">
        <v>44</v>
      </c>
      <c r="K20" s="3">
        <f>=COUNTIF(F:F,"翟正利")</f>
        <v>7</v>
      </c>
      <c r="N20" s="9" t="s"/>
      <c r="O20" s="9" t="s"/>
      <c r="P20" s="9" t="s"/>
    </row>
    <row r="21" spans="1:16">
      <c r="A21" s="3">
        <v>20</v>
      </c>
      <c r="B21" s="10">
        <v>202111050610</v>
      </c>
      <c r="C21" s="12" t="s">
        <v>62</v>
      </c>
      <c r="D21" s="12" t="s">
        <v>31</v>
      </c>
      <c r="E21" s="12" t="s">
        <v>32</v>
      </c>
      <c r="F21" s="3" t="s">
        <v>17</v>
      </c>
      <c r="G21" s="15">
        <v>736613176</v>
      </c>
      <c r="I21" s="3">
        <v>19</v>
      </c>
      <c r="J21" s="3" t="s">
        <v>29</v>
      </c>
      <c r="K21" s="3">
        <f>=COUNTIF(F:F,"周全强")</f>
        <v>7</v>
      </c>
      <c r="N21" s="9" t="s"/>
      <c r="O21" s="9" t="s"/>
      <c r="P21" s="9" t="s"/>
    </row>
    <row r="22" spans="1:16">
      <c r="A22" s="3">
        <v>21</v>
      </c>
      <c r="B22" s="10">
        <v>202111050611</v>
      </c>
      <c r="C22" s="12" t="s">
        <v>63</v>
      </c>
      <c r="D22" s="12" t="s">
        <v>31</v>
      </c>
      <c r="E22" s="12" t="s">
        <v>32</v>
      </c>
      <c r="F22" s="3" t="s">
        <v>17</v>
      </c>
      <c r="G22" s="15">
        <v>736613176</v>
      </c>
      <c r="I22" s="3" t="s"/>
      <c r="J22" s="3" t="s">
        <v>64</v>
      </c>
      <c r="K22" s="3">
        <f>=SUM(K3:K21)</f>
        <v>120</v>
      </c>
      <c r="N22" s="9" t="s"/>
      <c r="O22" s="9" t="s"/>
      <c r="P22" s="9" t="s"/>
    </row>
    <row r="23" spans="1:16">
      <c r="A23" s="3">
        <v>22</v>
      </c>
      <c r="B23" s="10">
        <v>202111050612</v>
      </c>
      <c r="C23" s="12" t="s">
        <v>65</v>
      </c>
      <c r="D23" s="12" t="s">
        <v>31</v>
      </c>
      <c r="E23" s="12" t="s">
        <v>32</v>
      </c>
      <c r="F23" s="3" t="s">
        <v>17</v>
      </c>
      <c r="G23" s="15">
        <v>736613176</v>
      </c>
      <c r="N23" s="9" t="s"/>
      <c r="O23" s="9" t="s"/>
      <c r="P23" s="9" t="s"/>
    </row>
    <row r="24" spans="1:7">
      <c r="A24" s="3">
        <v>23</v>
      </c>
      <c r="B24" s="10">
        <v>202111050613</v>
      </c>
      <c r="C24" s="12" t="s">
        <v>66</v>
      </c>
      <c r="D24" s="12" t="s">
        <v>31</v>
      </c>
      <c r="E24" s="12" t="s">
        <v>32</v>
      </c>
      <c r="F24" s="3" t="s">
        <v>17</v>
      </c>
      <c r="G24" s="15">
        <v>736613176</v>
      </c>
    </row>
    <row r="25" spans="1:7">
      <c r="A25" s="3">
        <v>24</v>
      </c>
      <c r="B25" s="10">
        <v>202111050614</v>
      </c>
      <c r="C25" s="12" t="s">
        <v>67</v>
      </c>
      <c r="D25" s="12" t="s">
        <v>31</v>
      </c>
      <c r="E25" s="12" t="s">
        <v>32</v>
      </c>
      <c r="F25" s="3" t="s">
        <v>17</v>
      </c>
      <c r="G25" s="15">
        <v>736613176</v>
      </c>
    </row>
    <row r="26" spans="1:7">
      <c r="A26" s="3">
        <v>25</v>
      </c>
      <c r="B26" s="10">
        <v>202111050615</v>
      </c>
      <c r="C26" s="12" t="s">
        <v>68</v>
      </c>
      <c r="D26" s="12" t="s">
        <v>31</v>
      </c>
      <c r="E26" s="12" t="s">
        <v>32</v>
      </c>
      <c r="F26" s="3" t="s">
        <v>17</v>
      </c>
      <c r="G26" s="15">
        <v>736613176</v>
      </c>
    </row>
    <row r="27" spans="1:7">
      <c r="A27" s="3">
        <v>26</v>
      </c>
      <c r="B27" s="10">
        <v>202111050616</v>
      </c>
      <c r="C27" s="12" t="s">
        <v>69</v>
      </c>
      <c r="D27" s="12" t="s">
        <v>31</v>
      </c>
      <c r="E27" s="12" t="s">
        <v>32</v>
      </c>
      <c r="F27" s="3" t="s">
        <v>33</v>
      </c>
      <c r="G27" s="17">
        <v>545034260</v>
      </c>
    </row>
    <row r="28" spans="1:7">
      <c r="A28" s="3">
        <v>27</v>
      </c>
      <c r="B28" s="10">
        <v>202111050617</v>
      </c>
      <c r="C28" s="12" t="s">
        <v>70</v>
      </c>
      <c r="D28" s="12" t="s">
        <v>31</v>
      </c>
      <c r="E28" s="12" t="s">
        <v>32</v>
      </c>
      <c r="F28" s="3" t="s">
        <v>53</v>
      </c>
      <c r="G28" s="13">
        <v>748584875</v>
      </c>
    </row>
    <row r="29" spans="1:7">
      <c r="A29" s="3">
        <v>28</v>
      </c>
      <c r="B29" s="10">
        <v>202111050618</v>
      </c>
      <c r="C29" s="12" t="s">
        <v>71</v>
      </c>
      <c r="D29" s="12" t="s">
        <v>31</v>
      </c>
      <c r="E29" s="12" t="s">
        <v>32</v>
      </c>
      <c r="F29" s="3" t="s">
        <v>53</v>
      </c>
      <c r="G29" s="17">
        <v>748584875</v>
      </c>
    </row>
    <row r="30" spans="1:7">
      <c r="A30" s="3">
        <v>29</v>
      </c>
      <c r="B30" s="10">
        <v>202111050619</v>
      </c>
      <c r="C30" s="12" t="s">
        <v>72</v>
      </c>
      <c r="D30" s="12" t="s">
        <v>31</v>
      </c>
      <c r="E30" s="12" t="s">
        <v>32</v>
      </c>
      <c r="F30" s="3" t="s">
        <v>53</v>
      </c>
      <c r="G30" s="17">
        <v>748584875</v>
      </c>
    </row>
    <row r="31" spans="1:7">
      <c r="A31" s="3">
        <v>30</v>
      </c>
      <c r="B31" s="10">
        <v>202111050620</v>
      </c>
      <c r="C31" s="12" t="s">
        <v>73</v>
      </c>
      <c r="D31" s="12" t="s">
        <v>31</v>
      </c>
      <c r="E31" s="12" t="s">
        <v>32</v>
      </c>
      <c r="F31" s="3" t="s">
        <v>53</v>
      </c>
      <c r="G31" s="17">
        <v>748584875</v>
      </c>
    </row>
    <row r="32" spans="1:7">
      <c r="A32" s="3">
        <v>31</v>
      </c>
      <c r="B32" s="10">
        <v>202111050621</v>
      </c>
      <c r="C32" s="12" t="s">
        <v>74</v>
      </c>
      <c r="D32" s="12" t="s">
        <v>31</v>
      </c>
      <c r="E32" s="12" t="s">
        <v>32</v>
      </c>
      <c r="F32" s="3" t="s">
        <v>53</v>
      </c>
      <c r="G32" s="17">
        <v>748584875</v>
      </c>
    </row>
    <row r="33" spans="1:7">
      <c r="A33" s="3">
        <v>32</v>
      </c>
      <c r="B33" s="10">
        <v>202111050622</v>
      </c>
      <c r="C33" s="12" t="s">
        <v>75</v>
      </c>
      <c r="D33" s="12" t="s">
        <v>31</v>
      </c>
      <c r="E33" s="12" t="s">
        <v>32</v>
      </c>
      <c r="F33" s="3" t="s">
        <v>53</v>
      </c>
      <c r="G33" s="17">
        <v>748584875</v>
      </c>
    </row>
    <row r="34" spans="1:7">
      <c r="A34" s="3">
        <v>33</v>
      </c>
      <c r="B34" s="10">
        <v>202111050623</v>
      </c>
      <c r="C34" s="12" t="s">
        <v>76</v>
      </c>
      <c r="D34" s="12" t="s">
        <v>31</v>
      </c>
      <c r="E34" s="12" t="s">
        <v>32</v>
      </c>
      <c r="F34" s="3" t="s">
        <v>53</v>
      </c>
      <c r="G34" s="17">
        <v>748584875</v>
      </c>
    </row>
    <row r="35" spans="1:7">
      <c r="A35" s="3">
        <v>34</v>
      </c>
      <c r="B35" s="10">
        <v>202111050624</v>
      </c>
      <c r="C35" s="12" t="s">
        <v>77</v>
      </c>
      <c r="D35" s="12" t="s">
        <v>31</v>
      </c>
      <c r="E35" s="12" t="s">
        <v>32</v>
      </c>
      <c r="F35" s="3" t="s">
        <v>18</v>
      </c>
      <c r="G35" s="20" t="s">
        <v>169</v>
      </c>
    </row>
    <row r="36" spans="1:7">
      <c r="A36" s="3">
        <v>35</v>
      </c>
      <c r="B36" s="10">
        <v>202111050625</v>
      </c>
      <c r="C36" s="12" t="s">
        <v>78</v>
      </c>
      <c r="D36" s="12" t="s">
        <v>31</v>
      </c>
      <c r="E36" s="12" t="s">
        <v>32</v>
      </c>
      <c r="F36" s="3" t="s">
        <v>18</v>
      </c>
      <c r="G36" s="20" t="s">
        <v>169</v>
      </c>
    </row>
    <row r="37" spans="1:7">
      <c r="A37" s="3">
        <v>36</v>
      </c>
      <c r="B37" s="10">
        <v>202111050626</v>
      </c>
      <c r="C37" s="12" t="s">
        <v>79</v>
      </c>
      <c r="D37" s="12" t="s">
        <v>31</v>
      </c>
      <c r="E37" s="12" t="s">
        <v>32</v>
      </c>
      <c r="F37" s="3" t="s">
        <v>18</v>
      </c>
      <c r="G37" s="20" t="s">
        <v>169</v>
      </c>
    </row>
    <row r="38" spans="1:7">
      <c r="A38" s="3">
        <v>37</v>
      </c>
      <c r="B38" s="10">
        <v>202111050627</v>
      </c>
      <c r="C38" s="12" t="s">
        <v>80</v>
      </c>
      <c r="D38" s="12" t="s">
        <v>31</v>
      </c>
      <c r="E38" s="12" t="s">
        <v>32</v>
      </c>
      <c r="F38" s="3" t="s">
        <v>18</v>
      </c>
      <c r="G38" s="20" t="s">
        <v>169</v>
      </c>
    </row>
    <row r="39" spans="1:7">
      <c r="A39" s="3">
        <v>38</v>
      </c>
      <c r="B39" s="10">
        <v>202111050628</v>
      </c>
      <c r="C39" s="12" t="s">
        <v>81</v>
      </c>
      <c r="D39" s="12" t="s">
        <v>31</v>
      </c>
      <c r="E39" s="12" t="s">
        <v>32</v>
      </c>
      <c r="F39" s="3" t="s">
        <v>18</v>
      </c>
      <c r="G39" s="20" t="s">
        <v>169</v>
      </c>
    </row>
    <row r="40" spans="1:7">
      <c r="A40" s="3">
        <v>39</v>
      </c>
      <c r="B40" s="10">
        <v>202111050629</v>
      </c>
      <c r="C40" s="12" t="s">
        <v>82</v>
      </c>
      <c r="D40" s="12" t="s">
        <v>31</v>
      </c>
      <c r="E40" s="12" t="s">
        <v>32</v>
      </c>
      <c r="F40" s="3" t="s">
        <v>18</v>
      </c>
      <c r="G40" s="20" t="s">
        <v>169</v>
      </c>
    </row>
    <row r="41" spans="1:7">
      <c r="A41" s="3">
        <v>40</v>
      </c>
      <c r="B41" s="10">
        <v>202111050630</v>
      </c>
      <c r="C41" s="12" t="s">
        <v>83</v>
      </c>
      <c r="D41" s="12" t="s">
        <v>31</v>
      </c>
      <c r="E41" s="12" t="s">
        <v>32</v>
      </c>
      <c r="F41" s="3" t="s">
        <v>18</v>
      </c>
      <c r="G41" s="20" t="s">
        <v>169</v>
      </c>
    </row>
    <row r="42" spans="1:7">
      <c r="A42" s="3">
        <v>41</v>
      </c>
      <c r="B42" s="10">
        <v>202111080593</v>
      </c>
      <c r="C42" s="12" t="s">
        <v>84</v>
      </c>
      <c r="D42" s="12" t="s">
        <v>31</v>
      </c>
      <c r="E42" s="12" t="s">
        <v>32</v>
      </c>
      <c r="F42" s="3" t="s">
        <v>33</v>
      </c>
      <c r="G42" s="17">
        <v>545034260</v>
      </c>
    </row>
    <row r="43" spans="1:7">
      <c r="A43" s="3">
        <v>42</v>
      </c>
      <c r="B43" s="10">
        <v>202011020384</v>
      </c>
      <c r="C43" s="12" t="s">
        <v>85</v>
      </c>
      <c r="D43" s="12" t="s">
        <v>31</v>
      </c>
      <c r="E43" s="12" t="s">
        <v>86</v>
      </c>
      <c r="F43" s="3" t="s">
        <v>33</v>
      </c>
      <c r="G43" s="17">
        <v>545034260</v>
      </c>
    </row>
    <row r="44" spans="1:7">
      <c r="A44" s="3">
        <v>43</v>
      </c>
      <c r="B44" s="10">
        <v>202011050399</v>
      </c>
      <c r="C44" s="12" t="s">
        <v>87</v>
      </c>
      <c r="D44" s="12" t="s">
        <v>31</v>
      </c>
      <c r="E44" s="12" t="s">
        <v>86</v>
      </c>
      <c r="F44" s="21" t="s">
        <v>170</v>
      </c>
      <c r="G44" s="17">
        <v>545034260</v>
      </c>
    </row>
    <row r="45" spans="1:7">
      <c r="A45" s="3">
        <v>44</v>
      </c>
      <c r="B45" s="10">
        <v>202111020162</v>
      </c>
      <c r="C45" s="12" t="s">
        <v>88</v>
      </c>
      <c r="D45" s="12" t="s">
        <v>31</v>
      </c>
      <c r="E45" s="12" t="s">
        <v>86</v>
      </c>
      <c r="F45" s="21" t="s">
        <v>171</v>
      </c>
      <c r="G45" s="13">
        <v>530894241</v>
      </c>
    </row>
    <row r="46" spans="1:7">
      <c r="A46" s="3">
        <v>45</v>
      </c>
      <c r="B46" s="10">
        <v>202111050631</v>
      </c>
      <c r="C46" s="12" t="s">
        <v>89</v>
      </c>
      <c r="D46" s="12" t="s">
        <v>31</v>
      </c>
      <c r="E46" s="12" t="s">
        <v>86</v>
      </c>
      <c r="F46" s="3" t="s">
        <v>43</v>
      </c>
      <c r="G46" s="13">
        <v>869552106</v>
      </c>
    </row>
    <row r="47" spans="1:7">
      <c r="A47" s="3">
        <v>46</v>
      </c>
      <c r="B47" s="10">
        <v>202111050632</v>
      </c>
      <c r="C47" s="12" t="s">
        <v>90</v>
      </c>
      <c r="D47" s="12" t="s">
        <v>31</v>
      </c>
      <c r="E47" s="12" t="s">
        <v>86</v>
      </c>
      <c r="F47" s="3" t="s">
        <v>43</v>
      </c>
      <c r="G47" s="13">
        <v>869552106</v>
      </c>
    </row>
    <row r="48" spans="1:7">
      <c r="A48" s="3">
        <v>47</v>
      </c>
      <c r="B48" s="10">
        <v>202111050633</v>
      </c>
      <c r="C48" s="12" t="s">
        <v>91</v>
      </c>
      <c r="D48" s="12" t="s">
        <v>31</v>
      </c>
      <c r="E48" s="12" t="s">
        <v>86</v>
      </c>
      <c r="F48" s="3" t="s">
        <v>43</v>
      </c>
      <c r="G48" s="13">
        <v>869552106</v>
      </c>
    </row>
    <row r="49" spans="1:7">
      <c r="A49" s="3">
        <v>48</v>
      </c>
      <c r="B49" s="10">
        <v>202111050634</v>
      </c>
      <c r="C49" s="12" t="s">
        <v>92</v>
      </c>
      <c r="D49" s="12" t="s">
        <v>31</v>
      </c>
      <c r="E49" s="12" t="s">
        <v>86</v>
      </c>
      <c r="F49" s="3" t="s">
        <v>43</v>
      </c>
      <c r="G49" s="13">
        <v>869552106</v>
      </c>
    </row>
    <row r="50" spans="1:7">
      <c r="A50" s="3">
        <v>49</v>
      </c>
      <c r="B50" s="10">
        <v>202111050635</v>
      </c>
      <c r="C50" s="12" t="s">
        <v>93</v>
      </c>
      <c r="D50" s="12" t="s">
        <v>31</v>
      </c>
      <c r="E50" s="12" t="s">
        <v>86</v>
      </c>
      <c r="F50" s="3" t="s">
        <v>43</v>
      </c>
      <c r="G50" s="13">
        <v>869552106</v>
      </c>
    </row>
    <row r="51" spans="1:7">
      <c r="A51" s="3">
        <v>50</v>
      </c>
      <c r="B51" s="10">
        <v>202111050636</v>
      </c>
      <c r="C51" s="12" t="s">
        <v>94</v>
      </c>
      <c r="D51" s="12" t="s">
        <v>31</v>
      </c>
      <c r="E51" s="12" t="s">
        <v>86</v>
      </c>
      <c r="F51" s="3" t="s">
        <v>43</v>
      </c>
      <c r="G51" s="13">
        <v>869552106</v>
      </c>
    </row>
    <row r="52" spans="1:7">
      <c r="A52" s="3">
        <v>51</v>
      </c>
      <c r="B52" s="10">
        <v>202111050637</v>
      </c>
      <c r="C52" s="12" t="s">
        <v>95</v>
      </c>
      <c r="D52" s="12" t="s">
        <v>31</v>
      </c>
      <c r="E52" s="12" t="s">
        <v>86</v>
      </c>
      <c r="F52" s="3" t="s">
        <v>43</v>
      </c>
      <c r="G52" s="13">
        <v>869552106</v>
      </c>
    </row>
    <row r="53" spans="1:7">
      <c r="A53" s="3">
        <v>52</v>
      </c>
      <c r="B53" s="10">
        <v>202111050638</v>
      </c>
      <c r="C53" s="12" t="s">
        <v>96</v>
      </c>
      <c r="D53" s="12" t="s">
        <v>31</v>
      </c>
      <c r="E53" s="12" t="s">
        <v>86</v>
      </c>
      <c r="F53" s="21" t="s">
        <v>171</v>
      </c>
      <c r="G53" s="13">
        <v>530894241</v>
      </c>
    </row>
    <row r="54" spans="1:7">
      <c r="A54" s="3">
        <v>53</v>
      </c>
      <c r="B54" s="10">
        <v>202111050639</v>
      </c>
      <c r="C54" s="12" t="s">
        <v>97</v>
      </c>
      <c r="D54" s="12" t="s">
        <v>31</v>
      </c>
      <c r="E54" s="12" t="s">
        <v>86</v>
      </c>
      <c r="F54" s="21" t="s">
        <v>171</v>
      </c>
      <c r="G54" s="13">
        <v>530894241</v>
      </c>
    </row>
    <row r="55" spans="1:7">
      <c r="A55" s="3">
        <v>54</v>
      </c>
      <c r="B55" s="10">
        <v>202111050640</v>
      </c>
      <c r="C55" s="12" t="s">
        <v>98</v>
      </c>
      <c r="D55" s="12" t="s">
        <v>31</v>
      </c>
      <c r="E55" s="12" t="s">
        <v>86</v>
      </c>
      <c r="F55" s="21" t="s">
        <v>171</v>
      </c>
      <c r="G55" s="13">
        <v>530894241</v>
      </c>
    </row>
    <row r="56" spans="1:7">
      <c r="A56" s="3">
        <v>55</v>
      </c>
      <c r="B56" s="10">
        <v>202111050641</v>
      </c>
      <c r="C56" s="12" t="s">
        <v>99</v>
      </c>
      <c r="D56" s="12" t="s">
        <v>31</v>
      </c>
      <c r="E56" s="12" t="s">
        <v>86</v>
      </c>
      <c r="F56" s="21" t="s">
        <v>171</v>
      </c>
      <c r="G56" s="13">
        <v>530894241</v>
      </c>
    </row>
    <row r="57" spans="1:7">
      <c r="A57" s="3">
        <v>56</v>
      </c>
      <c r="B57" s="10">
        <v>202111050642</v>
      </c>
      <c r="C57" s="12" t="s">
        <v>100</v>
      </c>
      <c r="D57" s="12" t="s">
        <v>31</v>
      </c>
      <c r="E57" s="12" t="s">
        <v>86</v>
      </c>
      <c r="F57" s="21" t="s">
        <v>171</v>
      </c>
      <c r="G57" s="13">
        <v>530894241</v>
      </c>
    </row>
    <row r="58" spans="1:7">
      <c r="A58" s="3">
        <v>57</v>
      </c>
      <c r="B58" s="10">
        <v>202111050643</v>
      </c>
      <c r="C58" s="12" t="s">
        <v>101</v>
      </c>
      <c r="D58" s="12" t="s">
        <v>31</v>
      </c>
      <c r="E58" s="12" t="s">
        <v>86</v>
      </c>
      <c r="F58" s="21" t="s">
        <v>172</v>
      </c>
      <c r="G58" s="13">
        <v>661461633</v>
      </c>
    </row>
    <row r="59" spans="1:7">
      <c r="A59" s="3">
        <v>58</v>
      </c>
      <c r="B59" s="10">
        <v>202111050644</v>
      </c>
      <c r="C59" s="12" t="s">
        <v>102</v>
      </c>
      <c r="D59" s="12" t="s">
        <v>31</v>
      </c>
      <c r="E59" s="12" t="s">
        <v>86</v>
      </c>
      <c r="F59" s="21" t="s">
        <v>172</v>
      </c>
      <c r="G59" s="13">
        <v>661461633</v>
      </c>
    </row>
    <row r="60" spans="1:7">
      <c r="A60" s="3">
        <v>59</v>
      </c>
      <c r="B60" s="10">
        <v>202111050645</v>
      </c>
      <c r="C60" s="12" t="s">
        <v>103</v>
      </c>
      <c r="D60" s="12" t="s">
        <v>31</v>
      </c>
      <c r="E60" s="12" t="s">
        <v>86</v>
      </c>
      <c r="F60" s="3" t="s">
        <v>44</v>
      </c>
      <c r="G60" s="13">
        <v>956492024</v>
      </c>
    </row>
    <row r="61" spans="1:7">
      <c r="A61" s="3">
        <v>60</v>
      </c>
      <c r="B61" s="10">
        <v>202111050646</v>
      </c>
      <c r="C61" s="12" t="s">
        <v>104</v>
      </c>
      <c r="D61" s="12" t="s">
        <v>31</v>
      </c>
      <c r="E61" s="12" t="s">
        <v>86</v>
      </c>
      <c r="F61" s="3" t="s">
        <v>44</v>
      </c>
      <c r="G61" s="17">
        <v>956492024</v>
      </c>
    </row>
    <row r="62" spans="1:7">
      <c r="A62" s="3">
        <v>61</v>
      </c>
      <c r="B62" s="10">
        <v>202111050647</v>
      </c>
      <c r="C62" s="12" t="s">
        <v>105</v>
      </c>
      <c r="D62" s="12" t="s">
        <v>31</v>
      </c>
      <c r="E62" s="12" t="s">
        <v>86</v>
      </c>
      <c r="F62" s="3" t="s">
        <v>44</v>
      </c>
      <c r="G62" s="17">
        <v>956492024</v>
      </c>
    </row>
    <row r="63" spans="1:7">
      <c r="A63" s="3">
        <v>62</v>
      </c>
      <c r="B63" s="10">
        <v>202111050648</v>
      </c>
      <c r="C63" s="12" t="s">
        <v>106</v>
      </c>
      <c r="D63" s="12" t="s">
        <v>31</v>
      </c>
      <c r="E63" s="12" t="s">
        <v>86</v>
      </c>
      <c r="F63" s="3" t="s">
        <v>44</v>
      </c>
      <c r="G63" s="17">
        <v>956492024</v>
      </c>
    </row>
    <row r="64" spans="1:7">
      <c r="A64" s="3">
        <v>63</v>
      </c>
      <c r="B64" s="10">
        <v>202111050649</v>
      </c>
      <c r="C64" s="12" t="s">
        <v>107</v>
      </c>
      <c r="D64" s="12" t="s">
        <v>31</v>
      </c>
      <c r="E64" s="12" t="s">
        <v>86</v>
      </c>
      <c r="F64" s="3" t="s">
        <v>44</v>
      </c>
      <c r="G64" s="17">
        <v>956492024</v>
      </c>
    </row>
    <row r="65" spans="1:7">
      <c r="A65" s="3">
        <v>64</v>
      </c>
      <c r="B65" s="10">
        <v>202111050650</v>
      </c>
      <c r="C65" s="12" t="s">
        <v>108</v>
      </c>
      <c r="D65" s="12" t="s">
        <v>31</v>
      </c>
      <c r="E65" s="12" t="s">
        <v>86</v>
      </c>
      <c r="F65" s="3" t="s">
        <v>44</v>
      </c>
      <c r="G65" s="17">
        <v>956492024</v>
      </c>
    </row>
    <row r="66" spans="1:7">
      <c r="A66" s="3">
        <v>65</v>
      </c>
      <c r="B66" s="10">
        <v>202111050651</v>
      </c>
      <c r="C66" s="12" t="s">
        <v>109</v>
      </c>
      <c r="D66" s="12" t="s">
        <v>31</v>
      </c>
      <c r="E66" s="12" t="s">
        <v>86</v>
      </c>
      <c r="F66" s="3" t="s">
        <v>44</v>
      </c>
      <c r="G66" s="17">
        <v>956492024</v>
      </c>
    </row>
    <row r="67" spans="1:7">
      <c r="A67" s="3">
        <v>66</v>
      </c>
      <c r="B67" s="10">
        <v>202111050652</v>
      </c>
      <c r="C67" s="12" t="s">
        <v>110</v>
      </c>
      <c r="D67" s="12" t="s">
        <v>31</v>
      </c>
      <c r="E67" s="12" t="s">
        <v>86</v>
      </c>
      <c r="F67" s="3" t="s">
        <v>29</v>
      </c>
      <c r="G67" s="13">
        <v>536109064</v>
      </c>
    </row>
    <row r="68" spans="1:7">
      <c r="A68" s="3">
        <v>67</v>
      </c>
      <c r="B68" s="10">
        <v>202111050653</v>
      </c>
      <c r="C68" s="12" t="s">
        <v>111</v>
      </c>
      <c r="D68" s="12" t="s">
        <v>31</v>
      </c>
      <c r="E68" s="12" t="s">
        <v>86</v>
      </c>
      <c r="F68" s="3" t="s">
        <v>29</v>
      </c>
      <c r="G68" s="17">
        <v>536109064</v>
      </c>
    </row>
    <row r="69" spans="1:7">
      <c r="A69" s="3">
        <v>68</v>
      </c>
      <c r="B69" s="10">
        <v>202111050654</v>
      </c>
      <c r="C69" s="12" t="s">
        <v>112</v>
      </c>
      <c r="D69" s="12" t="s">
        <v>31</v>
      </c>
      <c r="E69" s="12" t="s">
        <v>86</v>
      </c>
      <c r="F69" s="3" t="s">
        <v>29</v>
      </c>
      <c r="G69" s="17">
        <v>536109064</v>
      </c>
    </row>
    <row r="70" spans="1:7">
      <c r="A70" s="3">
        <v>69</v>
      </c>
      <c r="B70" s="10">
        <v>202111050655</v>
      </c>
      <c r="C70" s="12" t="s">
        <v>113</v>
      </c>
      <c r="D70" s="12" t="s">
        <v>31</v>
      </c>
      <c r="E70" s="12" t="s">
        <v>86</v>
      </c>
      <c r="F70" s="3" t="s">
        <v>29</v>
      </c>
      <c r="G70" s="17">
        <v>536109064</v>
      </c>
    </row>
    <row r="71" spans="1:7">
      <c r="A71" s="3">
        <v>70</v>
      </c>
      <c r="B71" s="10">
        <v>202111050656</v>
      </c>
      <c r="C71" s="12" t="s">
        <v>114</v>
      </c>
      <c r="D71" s="12" t="s">
        <v>31</v>
      </c>
      <c r="E71" s="12" t="s">
        <v>86</v>
      </c>
      <c r="F71" s="3" t="s">
        <v>29</v>
      </c>
      <c r="G71" s="17">
        <v>536109064</v>
      </c>
    </row>
    <row r="72" spans="1:7">
      <c r="A72" s="3">
        <v>71</v>
      </c>
      <c r="B72" s="10">
        <v>202111050657</v>
      </c>
      <c r="C72" s="12" t="s">
        <v>115</v>
      </c>
      <c r="D72" s="12" t="s">
        <v>31</v>
      </c>
      <c r="E72" s="12" t="s">
        <v>86</v>
      </c>
      <c r="F72" s="3" t="s">
        <v>29</v>
      </c>
      <c r="G72" s="17">
        <v>536109064</v>
      </c>
    </row>
    <row r="73" spans="1:7">
      <c r="A73" s="3">
        <v>72</v>
      </c>
      <c r="B73" s="10">
        <v>202111050658</v>
      </c>
      <c r="C73" s="12" t="s">
        <v>116</v>
      </c>
      <c r="D73" s="12" t="s">
        <v>31</v>
      </c>
      <c r="E73" s="12" t="s">
        <v>86</v>
      </c>
      <c r="F73" s="3" t="s">
        <v>29</v>
      </c>
      <c r="G73" s="17">
        <v>536109064</v>
      </c>
    </row>
    <row r="74" spans="1:7">
      <c r="A74" s="3">
        <v>73</v>
      </c>
      <c r="B74" s="10">
        <v>202111050659</v>
      </c>
      <c r="C74" s="12" t="s">
        <v>117</v>
      </c>
      <c r="D74" s="12" t="s">
        <v>31</v>
      </c>
      <c r="E74" s="12" t="s">
        <v>86</v>
      </c>
      <c r="F74" s="3" t="s">
        <v>48</v>
      </c>
      <c r="G74" s="13">
        <v>693236133</v>
      </c>
    </row>
    <row r="75" spans="1:7">
      <c r="A75" s="3">
        <v>74</v>
      </c>
      <c r="B75" s="10">
        <v>202111050660</v>
      </c>
      <c r="C75" s="12" t="s">
        <v>118</v>
      </c>
      <c r="D75" s="12" t="s">
        <v>31</v>
      </c>
      <c r="E75" s="12" t="s">
        <v>86</v>
      </c>
      <c r="F75" s="3" t="s">
        <v>48</v>
      </c>
      <c r="G75" s="13">
        <v>693236133</v>
      </c>
    </row>
    <row r="76" spans="1:7">
      <c r="A76" s="3">
        <v>75</v>
      </c>
      <c r="B76" s="10">
        <v>202111050661</v>
      </c>
      <c r="C76" s="12" t="s">
        <v>119</v>
      </c>
      <c r="D76" s="12" t="s">
        <v>31</v>
      </c>
      <c r="E76" s="12" t="s">
        <v>86</v>
      </c>
      <c r="F76" s="3" t="s">
        <v>48</v>
      </c>
      <c r="G76" s="13">
        <v>693236133</v>
      </c>
    </row>
    <row r="77" spans="1:7">
      <c r="A77" s="3">
        <v>76</v>
      </c>
      <c r="B77" s="10">
        <v>202111050662</v>
      </c>
      <c r="C77" s="12" t="s">
        <v>120</v>
      </c>
      <c r="D77" s="12" t="s">
        <v>31</v>
      </c>
      <c r="E77" s="12" t="s">
        <v>86</v>
      </c>
      <c r="F77" s="3" t="s">
        <v>48</v>
      </c>
      <c r="G77" s="13">
        <v>693236133</v>
      </c>
    </row>
    <row r="78" spans="1:7">
      <c r="A78" s="3">
        <v>77</v>
      </c>
      <c r="B78" s="10">
        <v>202111050663</v>
      </c>
      <c r="C78" s="12" t="s">
        <v>121</v>
      </c>
      <c r="D78" s="12" t="s">
        <v>31</v>
      </c>
      <c r="E78" s="12" t="s">
        <v>86</v>
      </c>
      <c r="F78" s="3" t="s">
        <v>48</v>
      </c>
      <c r="G78" s="13">
        <v>693236133</v>
      </c>
    </row>
    <row r="79" spans="1:7">
      <c r="A79" s="3">
        <v>78</v>
      </c>
      <c r="B79" s="10">
        <v>202111050664</v>
      </c>
      <c r="C79" s="12" t="s">
        <v>122</v>
      </c>
      <c r="D79" s="12" t="s">
        <v>31</v>
      </c>
      <c r="E79" s="12" t="s">
        <v>86</v>
      </c>
      <c r="F79" s="3" t="s">
        <v>48</v>
      </c>
      <c r="G79" s="13">
        <v>693236133</v>
      </c>
    </row>
    <row r="80" spans="1:7">
      <c r="A80" s="3">
        <v>79</v>
      </c>
      <c r="B80" s="10">
        <v>202111050665</v>
      </c>
      <c r="C80" s="12" t="s">
        <v>123</v>
      </c>
      <c r="D80" s="12" t="s">
        <v>31</v>
      </c>
      <c r="E80" s="12" t="s">
        <v>86</v>
      </c>
      <c r="F80" s="3" t="s">
        <v>48</v>
      </c>
      <c r="G80" s="13">
        <v>693236133</v>
      </c>
    </row>
    <row r="81" spans="1:7">
      <c r="A81" s="3">
        <v>80</v>
      </c>
      <c r="B81" s="10">
        <v>202111080362</v>
      </c>
      <c r="C81" s="12" t="s">
        <v>124</v>
      </c>
      <c r="D81" s="12" t="s">
        <v>31</v>
      </c>
      <c r="E81" s="12" t="s">
        <v>86</v>
      </c>
      <c r="F81" s="21" t="s">
        <v>172</v>
      </c>
      <c r="G81" s="13">
        <v>661461633</v>
      </c>
    </row>
    <row r="82" spans="1:7">
      <c r="A82" s="3">
        <v>81</v>
      </c>
      <c r="B82" s="10">
        <v>202011020322</v>
      </c>
      <c r="C82" s="12" t="s">
        <v>125</v>
      </c>
      <c r="D82" s="12" t="s">
        <v>31</v>
      </c>
      <c r="E82" s="12" t="s">
        <v>126</v>
      </c>
      <c r="F82" s="21" t="s">
        <v>172</v>
      </c>
      <c r="G82" s="13">
        <v>661461633</v>
      </c>
    </row>
    <row r="83" spans="1:7">
      <c r="A83" s="3">
        <v>82</v>
      </c>
      <c r="B83" s="10">
        <v>202011020682</v>
      </c>
      <c r="C83" s="12" t="s">
        <v>127</v>
      </c>
      <c r="D83" s="12" t="s">
        <v>31</v>
      </c>
      <c r="E83" s="12" t="s">
        <v>126</v>
      </c>
      <c r="F83" s="21" t="s">
        <v>172</v>
      </c>
      <c r="G83" s="13">
        <v>661461633</v>
      </c>
    </row>
    <row r="84" spans="1:7">
      <c r="A84" s="3">
        <v>83</v>
      </c>
      <c r="B84" s="10">
        <v>202111020500</v>
      </c>
      <c r="C84" s="12" t="s">
        <v>128</v>
      </c>
      <c r="D84" s="12" t="s">
        <v>31</v>
      </c>
      <c r="E84" s="12" t="s">
        <v>126</v>
      </c>
      <c r="F84" s="21" t="s">
        <v>172</v>
      </c>
      <c r="G84" s="13">
        <v>661461633</v>
      </c>
    </row>
    <row r="85" spans="1:7">
      <c r="A85" s="3">
        <v>84</v>
      </c>
      <c r="B85" s="10">
        <v>202111040575</v>
      </c>
      <c r="C85" s="12" t="s">
        <v>129</v>
      </c>
      <c r="D85" s="12" t="s">
        <v>31</v>
      </c>
      <c r="E85" s="12" t="s">
        <v>126</v>
      </c>
      <c r="F85" s="21" t="s">
        <v>173</v>
      </c>
      <c r="G85" s="17" t="s">
        <v>130</v>
      </c>
    </row>
    <row r="86" spans="1:7">
      <c r="A86" s="3">
        <v>85</v>
      </c>
      <c r="B86" s="10">
        <v>202111050528</v>
      </c>
      <c r="C86" s="12" t="s">
        <v>131</v>
      </c>
      <c r="D86" s="12" t="s">
        <v>31</v>
      </c>
      <c r="E86" s="12" t="s">
        <v>126</v>
      </c>
      <c r="F86" s="21" t="s">
        <v>173</v>
      </c>
      <c r="G86" s="17">
        <v>797093786</v>
      </c>
    </row>
    <row r="87" spans="1:7">
      <c r="A87" s="3">
        <v>86</v>
      </c>
      <c r="B87" s="10">
        <v>202111050666</v>
      </c>
      <c r="C87" s="12" t="s">
        <v>132</v>
      </c>
      <c r="D87" s="12" t="s">
        <v>31</v>
      </c>
      <c r="E87" s="12" t="s">
        <v>126</v>
      </c>
      <c r="F87" s="3" t="s">
        <v>56</v>
      </c>
      <c r="G87" s="13">
        <v>331337954</v>
      </c>
    </row>
    <row r="88" spans="1:7">
      <c r="A88" s="3">
        <v>87</v>
      </c>
      <c r="B88" s="10">
        <v>202111050667</v>
      </c>
      <c r="C88" s="12" t="s">
        <v>133</v>
      </c>
      <c r="D88" s="12" t="s">
        <v>31</v>
      </c>
      <c r="E88" s="12" t="s">
        <v>126</v>
      </c>
      <c r="F88" s="3" t="s">
        <v>56</v>
      </c>
      <c r="G88" s="17">
        <v>331337954</v>
      </c>
    </row>
    <row r="89" spans="1:7">
      <c r="A89" s="3">
        <v>88</v>
      </c>
      <c r="B89" s="10">
        <v>202111050668</v>
      </c>
      <c r="C89" s="12" t="s">
        <v>134</v>
      </c>
      <c r="D89" s="12" t="s">
        <v>31</v>
      </c>
      <c r="E89" s="12" t="s">
        <v>126</v>
      </c>
      <c r="F89" s="3" t="s">
        <v>56</v>
      </c>
      <c r="G89" s="17">
        <v>331337954</v>
      </c>
    </row>
    <row r="90" spans="1:7">
      <c r="A90" s="3">
        <v>89</v>
      </c>
      <c r="B90" s="10">
        <v>202111050669</v>
      </c>
      <c r="C90" s="12" t="s">
        <v>135</v>
      </c>
      <c r="D90" s="12" t="s">
        <v>31</v>
      </c>
      <c r="E90" s="12" t="s">
        <v>126</v>
      </c>
      <c r="F90" s="3" t="s">
        <v>56</v>
      </c>
      <c r="G90" s="17">
        <v>331337954</v>
      </c>
    </row>
    <row r="91" spans="1:7">
      <c r="A91" s="3">
        <v>90</v>
      </c>
      <c r="B91" s="10">
        <v>202111050670</v>
      </c>
      <c r="C91" s="12" t="s">
        <v>136</v>
      </c>
      <c r="D91" s="12" t="s">
        <v>31</v>
      </c>
      <c r="E91" s="12" t="s">
        <v>126</v>
      </c>
      <c r="F91" s="3" t="s">
        <v>56</v>
      </c>
      <c r="G91" s="17">
        <v>331337954</v>
      </c>
    </row>
    <row r="92" spans="1:7">
      <c r="A92" s="3">
        <v>91</v>
      </c>
      <c r="B92" s="10">
        <v>202111050671</v>
      </c>
      <c r="C92" s="12" t="s">
        <v>137</v>
      </c>
      <c r="D92" s="12" t="s">
        <v>31</v>
      </c>
      <c r="E92" s="12" t="s">
        <v>126</v>
      </c>
      <c r="F92" s="3" t="s">
        <v>56</v>
      </c>
      <c r="G92" s="17">
        <v>331337954</v>
      </c>
    </row>
    <row r="93" spans="1:7">
      <c r="A93" s="3">
        <v>92</v>
      </c>
      <c r="B93" s="10">
        <v>202111050672</v>
      </c>
      <c r="C93" s="12" t="s">
        <v>138</v>
      </c>
      <c r="D93" s="12" t="s">
        <v>31</v>
      </c>
      <c r="E93" s="12" t="s">
        <v>126</v>
      </c>
      <c r="F93" s="3" t="s">
        <v>56</v>
      </c>
      <c r="G93" s="17">
        <v>331337954</v>
      </c>
    </row>
    <row r="94" spans="1:7">
      <c r="A94" s="3">
        <v>93</v>
      </c>
      <c r="B94" s="10">
        <v>202111050673</v>
      </c>
      <c r="C94" s="12" t="s">
        <v>139</v>
      </c>
      <c r="D94" s="12" t="s">
        <v>31</v>
      </c>
      <c r="E94" s="12" t="s">
        <v>126</v>
      </c>
      <c r="F94" s="3" t="s">
        <v>46</v>
      </c>
      <c r="G94" s="13">
        <v>723230597</v>
      </c>
    </row>
    <row r="95" spans="1:7">
      <c r="A95" s="3">
        <v>94</v>
      </c>
      <c r="B95" s="10">
        <v>202111050674</v>
      </c>
      <c r="C95" s="12" t="s">
        <v>140</v>
      </c>
      <c r="D95" s="12" t="s">
        <v>31</v>
      </c>
      <c r="E95" s="12" t="s">
        <v>126</v>
      </c>
      <c r="F95" s="3" t="s">
        <v>46</v>
      </c>
      <c r="G95" s="17">
        <v>723230597</v>
      </c>
    </row>
    <row r="96" spans="1:7">
      <c r="A96" s="3">
        <v>95</v>
      </c>
      <c r="B96" s="10">
        <v>202111050675</v>
      </c>
      <c r="C96" s="12" t="s">
        <v>141</v>
      </c>
      <c r="D96" s="12" t="s">
        <v>31</v>
      </c>
      <c r="E96" s="12" t="s">
        <v>126</v>
      </c>
      <c r="F96" s="3" t="s">
        <v>46</v>
      </c>
      <c r="G96" s="17">
        <v>723230597</v>
      </c>
    </row>
    <row r="97" spans="1:7">
      <c r="A97" s="3">
        <v>96</v>
      </c>
      <c r="B97" s="10">
        <v>202111050676</v>
      </c>
      <c r="C97" s="12" t="s">
        <v>142</v>
      </c>
      <c r="D97" s="12" t="s">
        <v>31</v>
      </c>
      <c r="E97" s="12" t="s">
        <v>126</v>
      </c>
      <c r="F97" s="3" t="s">
        <v>46</v>
      </c>
      <c r="G97" s="17">
        <v>723230597</v>
      </c>
    </row>
    <row r="98" spans="1:7">
      <c r="A98" s="3">
        <v>97</v>
      </c>
      <c r="B98" s="10">
        <v>202111050677</v>
      </c>
      <c r="C98" s="12" t="s">
        <v>143</v>
      </c>
      <c r="D98" s="12" t="s">
        <v>31</v>
      </c>
      <c r="E98" s="12" t="s">
        <v>126</v>
      </c>
      <c r="F98" s="3" t="s">
        <v>46</v>
      </c>
      <c r="G98" s="17">
        <v>723230597</v>
      </c>
    </row>
    <row r="99" spans="1:7">
      <c r="A99" s="3">
        <v>98</v>
      </c>
      <c r="B99" s="10">
        <v>202111050678</v>
      </c>
      <c r="C99" s="12" t="s">
        <v>144</v>
      </c>
      <c r="D99" s="12" t="s">
        <v>31</v>
      </c>
      <c r="E99" s="12" t="s">
        <v>126</v>
      </c>
      <c r="F99" s="3" t="s">
        <v>46</v>
      </c>
      <c r="G99" s="17">
        <v>723230597</v>
      </c>
    </row>
    <row r="100" spans="1:7">
      <c r="A100" s="3">
        <v>99</v>
      </c>
      <c r="B100" s="10">
        <v>202111050679</v>
      </c>
      <c r="C100" s="12" t="s">
        <v>145</v>
      </c>
      <c r="D100" s="12" t="s">
        <v>31</v>
      </c>
      <c r="E100" s="12" t="s">
        <v>126</v>
      </c>
      <c r="F100" s="3" t="s">
        <v>46</v>
      </c>
      <c r="G100" s="17">
        <v>723230597</v>
      </c>
    </row>
    <row r="101" spans="1:7">
      <c r="A101" s="3">
        <v>100</v>
      </c>
      <c r="B101" s="10">
        <v>202111050680</v>
      </c>
      <c r="C101" s="12" t="s">
        <v>146</v>
      </c>
      <c r="D101" s="12" t="s">
        <v>31</v>
      </c>
      <c r="E101" s="12" t="s">
        <v>126</v>
      </c>
      <c r="F101" s="3" t="s">
        <v>35</v>
      </c>
      <c r="G101" s="17">
        <v>756637639</v>
      </c>
    </row>
    <row r="102" spans="1:7">
      <c r="A102" s="3">
        <v>101</v>
      </c>
      <c r="B102" s="10">
        <v>202111050681</v>
      </c>
      <c r="C102" s="12" t="s">
        <v>147</v>
      </c>
      <c r="D102" s="12" t="s">
        <v>31</v>
      </c>
      <c r="E102" s="12" t="s">
        <v>126</v>
      </c>
      <c r="F102" s="3" t="s">
        <v>35</v>
      </c>
      <c r="G102" s="17">
        <v>756637639</v>
      </c>
    </row>
    <row r="103" spans="1:7">
      <c r="A103" s="3">
        <v>102</v>
      </c>
      <c r="B103" s="10">
        <v>202111050682</v>
      </c>
      <c r="C103" s="12" t="s">
        <v>148</v>
      </c>
      <c r="D103" s="12" t="s">
        <v>31</v>
      </c>
      <c r="E103" s="12" t="s">
        <v>126</v>
      </c>
      <c r="F103" s="3" t="s">
        <v>35</v>
      </c>
      <c r="G103" s="17">
        <v>756637639</v>
      </c>
    </row>
    <row r="104" spans="1:7">
      <c r="A104" s="3">
        <v>103</v>
      </c>
      <c r="B104" s="10">
        <v>202111050683</v>
      </c>
      <c r="C104" s="12" t="s">
        <v>149</v>
      </c>
      <c r="D104" s="12" t="s">
        <v>31</v>
      </c>
      <c r="E104" s="12" t="s">
        <v>126</v>
      </c>
      <c r="F104" s="3" t="s">
        <v>35</v>
      </c>
      <c r="G104" s="17">
        <v>756637639</v>
      </c>
    </row>
    <row r="105" spans="1:7">
      <c r="A105" s="3">
        <v>104</v>
      </c>
      <c r="B105" s="10">
        <v>202111050684</v>
      </c>
      <c r="C105" s="12" t="s">
        <v>150</v>
      </c>
      <c r="D105" s="12" t="s">
        <v>31</v>
      </c>
      <c r="E105" s="12" t="s">
        <v>126</v>
      </c>
      <c r="F105" s="3" t="s">
        <v>35</v>
      </c>
      <c r="G105" s="17">
        <v>756637639</v>
      </c>
    </row>
    <row r="106" spans="1:7">
      <c r="A106" s="3">
        <v>105</v>
      </c>
      <c r="B106" s="10">
        <v>202111050685</v>
      </c>
      <c r="C106" s="12" t="s">
        <v>151</v>
      </c>
      <c r="D106" s="12" t="s">
        <v>31</v>
      </c>
      <c r="E106" s="12" t="s">
        <v>126</v>
      </c>
      <c r="F106" s="3" t="s">
        <v>35</v>
      </c>
      <c r="G106" s="17">
        <v>756637639</v>
      </c>
    </row>
    <row r="107" spans="1:7">
      <c r="A107" s="3">
        <v>106</v>
      </c>
      <c r="B107" s="10">
        <v>202111050686</v>
      </c>
      <c r="C107" s="12" t="s">
        <v>152</v>
      </c>
      <c r="D107" s="12" t="s">
        <v>31</v>
      </c>
      <c r="E107" s="12" t="s">
        <v>126</v>
      </c>
      <c r="F107" s="3" t="s">
        <v>35</v>
      </c>
      <c r="G107" s="17">
        <v>756637639</v>
      </c>
    </row>
    <row r="108" spans="1:7">
      <c r="A108" s="3">
        <v>107</v>
      </c>
      <c r="B108" s="10">
        <v>202111050687</v>
      </c>
      <c r="C108" s="12" t="s">
        <v>153</v>
      </c>
      <c r="D108" s="12" t="s">
        <v>31</v>
      </c>
      <c r="E108" s="12" t="s">
        <v>126</v>
      </c>
      <c r="F108" s="3" t="s">
        <v>27</v>
      </c>
      <c r="G108" s="13">
        <v>601807548</v>
      </c>
    </row>
    <row r="109" spans="1:7">
      <c r="A109" s="3">
        <v>108</v>
      </c>
      <c r="B109" s="10">
        <v>202111050688</v>
      </c>
      <c r="C109" s="12" t="s">
        <v>154</v>
      </c>
      <c r="D109" s="12" t="s">
        <v>31</v>
      </c>
      <c r="E109" s="12" t="s">
        <v>126</v>
      </c>
      <c r="F109" s="3" t="s">
        <v>27</v>
      </c>
      <c r="G109" s="17">
        <v>601807548</v>
      </c>
    </row>
    <row r="110" spans="1:7">
      <c r="A110" s="3">
        <v>109</v>
      </c>
      <c r="B110" s="10">
        <v>202111050689</v>
      </c>
      <c r="C110" s="12" t="s">
        <v>155</v>
      </c>
      <c r="D110" s="12" t="s">
        <v>31</v>
      </c>
      <c r="E110" s="12" t="s">
        <v>126</v>
      </c>
      <c r="F110" s="3" t="s">
        <v>27</v>
      </c>
      <c r="G110" s="17">
        <v>601807548</v>
      </c>
    </row>
    <row r="111" spans="1:7">
      <c r="A111" s="3">
        <v>110</v>
      </c>
      <c r="B111" s="10">
        <v>202111050690</v>
      </c>
      <c r="C111" s="12" t="s">
        <v>156</v>
      </c>
      <c r="D111" s="12" t="s">
        <v>31</v>
      </c>
      <c r="E111" s="12" t="s">
        <v>126</v>
      </c>
      <c r="F111" s="3" t="s">
        <v>27</v>
      </c>
      <c r="G111" s="17">
        <v>601807548</v>
      </c>
    </row>
    <row r="112" spans="1:7">
      <c r="A112" s="3">
        <v>111</v>
      </c>
      <c r="B112" s="10">
        <v>202111050691</v>
      </c>
      <c r="C112" s="12" t="s">
        <v>157</v>
      </c>
      <c r="D112" s="12" t="s">
        <v>31</v>
      </c>
      <c r="E112" s="12" t="s">
        <v>126</v>
      </c>
      <c r="F112" s="3" t="s">
        <v>27</v>
      </c>
      <c r="G112" s="17">
        <v>601807548</v>
      </c>
    </row>
    <row r="113" spans="1:7">
      <c r="A113" s="3">
        <v>112</v>
      </c>
      <c r="B113" s="10">
        <v>202111050692</v>
      </c>
      <c r="C113" s="12" t="s">
        <v>158</v>
      </c>
      <c r="D113" s="12" t="s">
        <v>31</v>
      </c>
      <c r="E113" s="12" t="s">
        <v>126</v>
      </c>
      <c r="F113" s="3" t="s">
        <v>27</v>
      </c>
      <c r="G113" s="17">
        <v>601807548</v>
      </c>
    </row>
    <row r="114" spans="1:7">
      <c r="A114" s="3">
        <v>113</v>
      </c>
      <c r="B114" s="10">
        <v>202111050693</v>
      </c>
      <c r="C114" s="12" t="s">
        <v>159</v>
      </c>
      <c r="D114" s="12" t="s">
        <v>31</v>
      </c>
      <c r="E114" s="12" t="s">
        <v>126</v>
      </c>
      <c r="F114" s="3" t="s">
        <v>27</v>
      </c>
      <c r="G114" s="17">
        <v>601807548</v>
      </c>
    </row>
    <row r="115" spans="1:7">
      <c r="A115" s="3">
        <v>114</v>
      </c>
      <c r="B115" s="10">
        <v>202111050694</v>
      </c>
      <c r="C115" s="12" t="s">
        <v>160</v>
      </c>
      <c r="D115" s="12" t="s">
        <v>31</v>
      </c>
      <c r="E115" s="12" t="s">
        <v>126</v>
      </c>
      <c r="F115" s="21" t="s">
        <v>173</v>
      </c>
      <c r="G115" s="17">
        <v>797093786</v>
      </c>
    </row>
    <row r="116" spans="1:7">
      <c r="A116" s="3">
        <v>115</v>
      </c>
      <c r="B116" s="10">
        <v>202111050695</v>
      </c>
      <c r="C116" s="12" t="s">
        <v>161</v>
      </c>
      <c r="D116" s="12" t="s">
        <v>31</v>
      </c>
      <c r="E116" s="12" t="s">
        <v>126</v>
      </c>
      <c r="F116" s="21" t="s">
        <v>173</v>
      </c>
      <c r="G116" s="17">
        <v>797093786</v>
      </c>
    </row>
    <row r="117" spans="1:7">
      <c r="A117" s="3">
        <v>116</v>
      </c>
      <c r="B117" s="10">
        <v>202111050696</v>
      </c>
      <c r="C117" s="12" t="s">
        <v>162</v>
      </c>
      <c r="D117" s="12" t="s">
        <v>31</v>
      </c>
      <c r="E117" s="12" t="s">
        <v>126</v>
      </c>
      <c r="F117" s="21" t="s">
        <v>173</v>
      </c>
      <c r="G117" s="17">
        <v>797093786</v>
      </c>
    </row>
    <row r="118" spans="1:6">
      <c r="A118" s="3">
        <v>117</v>
      </c>
      <c r="B118" s="10">
        <v>202111050697</v>
      </c>
      <c r="C118" s="12" t="s">
        <v>163</v>
      </c>
      <c r="D118" s="12" t="s">
        <v>31</v>
      </c>
      <c r="E118" s="12" t="s">
        <v>126</v>
      </c>
      <c r="F118" s="21" t="s">
        <v>174</v>
      </c>
    </row>
    <row r="119" spans="1:6">
      <c r="A119" s="3">
        <v>118</v>
      </c>
      <c r="B119" s="10">
        <v>202111050698</v>
      </c>
      <c r="C119" s="12" t="s">
        <v>164</v>
      </c>
      <c r="D119" s="12" t="s">
        <v>31</v>
      </c>
      <c r="E119" s="12" t="s">
        <v>126</v>
      </c>
      <c r="F119" s="21" t="s">
        <v>174</v>
      </c>
    </row>
    <row r="120" spans="1:6">
      <c r="A120" s="3">
        <v>119</v>
      </c>
      <c r="B120" s="10">
        <v>202111050699</v>
      </c>
      <c r="C120" s="12" t="s">
        <v>165</v>
      </c>
      <c r="D120" s="12" t="s">
        <v>31</v>
      </c>
      <c r="E120" s="12" t="s">
        <v>126</v>
      </c>
      <c r="F120" s="21" t="s">
        <v>174</v>
      </c>
    </row>
    <row r="121" spans="1:6">
      <c r="A121" s="3">
        <v>120</v>
      </c>
      <c r="B121" s="10">
        <v>202111050700</v>
      </c>
      <c r="C121" s="12" t="s">
        <v>166</v>
      </c>
      <c r="D121" s="12" t="s">
        <v>31</v>
      </c>
      <c r="E121" s="12" t="s">
        <v>126</v>
      </c>
      <c r="F121" s="21" t="s">
        <v>174</v>
      </c>
    </row>
  </sheetData>
  <autoFilter ref="F1:F121">
    <sortState ref="F2:F121"/>
  </autoFilter>
  <mergeCells count="3">
    <mergeCell ref="I1:K1"/>
    <mergeCell ref="N1:P1"/>
    <mergeCell ref="N13:P23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cp="http://schemas.openxmlformats.org/package/2006/metadata/core-properties" xmlns:dcmitype="http://purl.org/dc/dcmitype/" xmlns:dc="http://purl.org/dc/elements/1.1/" xmlns:dcterms="http://purl.org/dc/terms/">
  <dcterms:created xsi:type="dcterms:W3CDTF">2023-12-29T18:04:51Z</dcterms:created>
  <dcterms:modified xsi:type="dcterms:W3CDTF">2023-12-29T18:04:51Z</dcterms:modified>
</cp:coreProperties>
</file>